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f4a3c806c10765/Documents/BUT TC 1/S1/STAGE/"/>
    </mc:Choice>
  </mc:AlternateContent>
  <xr:revisionPtr revIDLastSave="480" documentId="8_{6FCEE2A3-B53A-407D-8195-55828E188B83}" xr6:coauthVersionLast="47" xr6:coauthVersionMax="47" xr10:uidLastSave="{B287BCA2-12E6-4053-AE75-72AAA6B56FA4}"/>
  <bookViews>
    <workbookView xWindow="-108" yWindow="-108" windowWidth="23256" windowHeight="12456" activeTab="1" xr2:uid="{3349D2AB-47FC-43FF-B629-F68343393E49}"/>
  </bookViews>
  <sheets>
    <sheet name="Graphique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S6" i="1"/>
  <c r="Q6" i="1"/>
  <c r="S5" i="1"/>
  <c r="S4" i="1"/>
  <c r="S3" i="1"/>
  <c r="S2" i="1"/>
  <c r="R5" i="1"/>
  <c r="R4" i="1"/>
  <c r="R3" i="1"/>
  <c r="R2" i="1"/>
  <c r="D23" i="1"/>
  <c r="B30" i="1"/>
  <c r="B29" i="1"/>
  <c r="B28" i="1"/>
  <c r="B26" i="1"/>
  <c r="B36" i="1"/>
  <c r="B35" i="1"/>
  <c r="B34" i="1"/>
  <c r="Q4" i="1" s="1"/>
  <c r="B33" i="1"/>
  <c r="B32" i="1"/>
  <c r="B31" i="1"/>
  <c r="B25" i="1"/>
  <c r="Q2" i="1" s="1"/>
  <c r="B37" i="1"/>
  <c r="B38" i="1"/>
  <c r="B39" i="1"/>
  <c r="B40" i="1"/>
  <c r="B41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Q3" i="1" l="1"/>
  <c r="Q5" i="1"/>
  <c r="B43" i="1"/>
  <c r="C30" i="1" l="1"/>
  <c r="C38" i="1"/>
  <c r="C35" i="1"/>
  <c r="C36" i="1"/>
  <c r="C23" i="1"/>
  <c r="C31" i="1"/>
  <c r="C39" i="1"/>
  <c r="C24" i="1"/>
  <c r="C32" i="1"/>
  <c r="C40" i="1"/>
  <c r="C33" i="1"/>
  <c r="C41" i="1"/>
  <c r="C26" i="1"/>
  <c r="C34" i="1"/>
  <c r="C27" i="1"/>
  <c r="C28" i="1"/>
  <c r="C29" i="1"/>
  <c r="C25" i="1"/>
  <c r="C37" i="1"/>
  <c r="C43" i="1" l="1"/>
</calcChain>
</file>

<file path=xl/sharedStrings.xml><?xml version="1.0" encoding="utf-8"?>
<sst xmlns="http://schemas.openxmlformats.org/spreadsheetml/2006/main" count="36" uniqueCount="33">
  <si>
    <t>Jours</t>
  </si>
  <si>
    <t>Nombre de vente</t>
  </si>
  <si>
    <t>jour de la semaine</t>
  </si>
  <si>
    <t xml:space="preserve">Vendredi 5  </t>
  </si>
  <si>
    <t xml:space="preserve">Jeudi 4  </t>
  </si>
  <si>
    <t xml:space="preserve">Mercredi 3 </t>
  </si>
  <si>
    <t xml:space="preserve">Mardi 2 </t>
  </si>
  <si>
    <t>Lundi 8</t>
  </si>
  <si>
    <t>Vendredi 12</t>
  </si>
  <si>
    <t>Lundi 15</t>
  </si>
  <si>
    <t>Mardi 9</t>
  </si>
  <si>
    <t>Mercredi 10</t>
  </si>
  <si>
    <t>Jeudi 11</t>
  </si>
  <si>
    <t>Mardi 16</t>
  </si>
  <si>
    <t>Mercredi 17</t>
  </si>
  <si>
    <t>Jeudi 18</t>
  </si>
  <si>
    <t>Vendredi 19</t>
  </si>
  <si>
    <t>Lundi 22</t>
  </si>
  <si>
    <t>Mardi 23</t>
  </si>
  <si>
    <t>Mercredi 24</t>
  </si>
  <si>
    <t>Jeudi 25</t>
  </si>
  <si>
    <t>Vendredi 26</t>
  </si>
  <si>
    <t>Nombre intéractions clients</t>
  </si>
  <si>
    <t>Ratio intéractions- Vente</t>
  </si>
  <si>
    <t>CA</t>
  </si>
  <si>
    <t>Total CA</t>
  </si>
  <si>
    <t xml:space="preserve">% Total </t>
  </si>
  <si>
    <t>Total %</t>
  </si>
  <si>
    <t>Semaines</t>
  </si>
  <si>
    <t>Intéractions</t>
  </si>
  <si>
    <t>Ventes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</si>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</sst>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\ [$€-40C]_-;\-* #,##0.00\ [$€-40C]_-;_-* &quot;-&quot;??\ [$€-40C]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0" fillId="0" borderId="7" xfId="0" applyBorder="1"/>
    <xf numFmtId="165" fontId="0" fillId="0" borderId="8" xfId="0" applyNumberFormat="1" applyBorder="1"/>
    <xf numFmtId="165" fontId="0" fillId="0" borderId="2" xfId="0" applyNumberFormat="1" applyBorder="1" applyAlignment="1">
      <alignment horizontal="center"/>
    </xf>
    <xf numFmtId="10" fontId="0" fillId="0" borderId="2" xfId="1" applyNumberFormat="1" applyFont="1" applyBorder="1"/>
    <xf numFmtId="10" fontId="0" fillId="0" borderId="8" xfId="1" applyNumberFormat="1" applyFont="1" applyBorder="1"/>
    <xf numFmtId="10" fontId="0" fillId="0" borderId="8" xfId="0" applyNumberFormat="1" applyBorder="1"/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0" fontId="0" fillId="0" borderId="10" xfId="1" applyNumberFormat="1" applyFont="1" applyBorder="1"/>
    <xf numFmtId="164" fontId="0" fillId="0" borderId="11" xfId="1" applyNumberFormat="1" applyFont="1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0" fontId="0" fillId="0" borderId="8" xfId="0" applyBorder="1"/>
    <xf numFmtId="0" fontId="0" fillId="0" borderId="15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Feuil1!$A$22</c:f>
              <c:strCache>
                <c:ptCount val="1"/>
                <c:pt idx="0">
                  <c:v>Jours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Feuil1!$A$23:$A$43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4-4E9D-B4EC-22A9ABCBE0DD}"/>
            </c:ext>
          </c:extLst>
        </c:ser>
        <c:ser>
          <c:idx val="1"/>
          <c:order val="1"/>
          <c:tx>
            <c:strRef>
              <c:f>Feuil1!$B$22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Feuil1!$B$23:$B$43</c:f>
              <c:numCache>
                <c:formatCode>_-* #,##0.00\ [$€-40C]_-;\-* #,##0.00\ [$€-40C]_-;_-* "-"??\ [$€-40C]_-;_-@_-</c:formatCode>
                <c:ptCount val="21"/>
                <c:pt idx="0">
                  <c:v>70</c:v>
                </c:pt>
                <c:pt idx="1">
                  <c:v>70</c:v>
                </c:pt>
                <c:pt idx="2">
                  <c:v>540</c:v>
                </c:pt>
                <c:pt idx="3">
                  <c:v>750</c:v>
                </c:pt>
                <c:pt idx="4">
                  <c:v>70</c:v>
                </c:pt>
                <c:pt idx="5">
                  <c:v>300</c:v>
                </c:pt>
                <c:pt idx="6">
                  <c:v>300</c:v>
                </c:pt>
                <c:pt idx="7">
                  <c:v>900</c:v>
                </c:pt>
                <c:pt idx="8">
                  <c:v>2250</c:v>
                </c:pt>
                <c:pt idx="9">
                  <c:v>1500</c:v>
                </c:pt>
                <c:pt idx="10">
                  <c:v>750</c:v>
                </c:pt>
                <c:pt idx="11">
                  <c:v>450</c:v>
                </c:pt>
                <c:pt idx="12">
                  <c:v>300</c:v>
                </c:pt>
                <c:pt idx="13">
                  <c:v>1200</c:v>
                </c:pt>
                <c:pt idx="14">
                  <c:v>753.75</c:v>
                </c:pt>
                <c:pt idx="15">
                  <c:v>603</c:v>
                </c:pt>
                <c:pt idx="16">
                  <c:v>1356.75</c:v>
                </c:pt>
                <c:pt idx="17">
                  <c:v>1206</c:v>
                </c:pt>
                <c:pt idx="18">
                  <c:v>1507.5</c:v>
                </c:pt>
                <c:pt idx="19" formatCode="General">
                  <c:v>0</c:v>
                </c:pt>
                <c:pt idx="20">
                  <c:v>14877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4-4E9D-B4EC-22A9ABCBE0DD}"/>
            </c:ext>
          </c:extLst>
        </c:ser>
        <c:ser>
          <c:idx val="2"/>
          <c:order val="2"/>
          <c:tx>
            <c:strRef>
              <c:f>Feuil1!$C$22</c:f>
              <c:strCache>
                <c:ptCount val="1"/>
                <c:pt idx="0">
                  <c:v>% Total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Feuil1!$C$23:$C$43</c:f>
              <c:numCache>
                <c:formatCode>0.00%</c:formatCode>
                <c:ptCount val="21"/>
                <c:pt idx="0">
                  <c:v>4.7052497143241249E-3</c:v>
                </c:pt>
                <c:pt idx="1">
                  <c:v>4.7052497143241249E-3</c:v>
                </c:pt>
                <c:pt idx="2">
                  <c:v>3.6297640653357534E-2</c:v>
                </c:pt>
                <c:pt idx="3">
                  <c:v>5.0413389796329908E-2</c:v>
                </c:pt>
                <c:pt idx="4">
                  <c:v>4.7052497143241249E-3</c:v>
                </c:pt>
                <c:pt idx="5">
                  <c:v>2.0165355918531962E-2</c:v>
                </c:pt>
                <c:pt idx="6">
                  <c:v>2.0165355918531962E-2</c:v>
                </c:pt>
                <c:pt idx="7">
                  <c:v>6.0496067755595885E-2</c:v>
                </c:pt>
                <c:pt idx="8">
                  <c:v>0.15124016938898971</c:v>
                </c:pt>
                <c:pt idx="9">
                  <c:v>0.10082677959265982</c:v>
                </c:pt>
                <c:pt idx="10">
                  <c:v>5.0413389796329908E-2</c:v>
                </c:pt>
                <c:pt idx="11">
                  <c:v>3.0248033877797943E-2</c:v>
                </c:pt>
                <c:pt idx="12">
                  <c:v>2.0165355918531962E-2</c:v>
                </c:pt>
                <c:pt idx="13">
                  <c:v>8.0661423674127847E-2</c:v>
                </c:pt>
                <c:pt idx="14">
                  <c:v>5.0665456745311553E-2</c:v>
                </c:pt>
                <c:pt idx="15">
                  <c:v>4.0532365396249243E-2</c:v>
                </c:pt>
                <c:pt idx="16">
                  <c:v>9.1197822141560803E-2</c:v>
                </c:pt>
                <c:pt idx="17">
                  <c:v>8.1064730792498485E-2</c:v>
                </c:pt>
                <c:pt idx="18">
                  <c:v>0.10133091349062311</c:v>
                </c:pt>
                <c:pt idx="19" formatCode="General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4-4E9D-B4EC-22A9ABCBE0DD}"/>
            </c:ext>
          </c:extLst>
        </c:ser>
        <c:ser>
          <c:idx val="3"/>
          <c:order val="3"/>
          <c:tx>
            <c:strRef>
              <c:f>Feuil1!$D$22</c:f>
              <c:strCache>
                <c:ptCount val="1"/>
                <c:pt idx="0">
                  <c:v>Ratio intéractions- Vente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Feuil1!$D$23:$D$43</c:f>
              <c:numCache>
                <c:formatCode>0.0%</c:formatCode>
                <c:ptCount val="21"/>
                <c:pt idx="0">
                  <c:v>0.1</c:v>
                </c:pt>
                <c:pt idx="1">
                  <c:v>0.14285714285714285</c:v>
                </c:pt>
                <c:pt idx="2">
                  <c:v>0.44444444444444442</c:v>
                </c:pt>
                <c:pt idx="3">
                  <c:v>0.5</c:v>
                </c:pt>
                <c:pt idx="4">
                  <c:v>0.33333333333333331</c:v>
                </c:pt>
                <c:pt idx="5">
                  <c:v>0.4</c:v>
                </c:pt>
                <c:pt idx="6">
                  <c:v>0.4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0.76923076923076927</c:v>
                </c:pt>
                <c:pt idx="10">
                  <c:v>0.7142857142857143</c:v>
                </c:pt>
                <c:pt idx="11">
                  <c:v>0.75</c:v>
                </c:pt>
                <c:pt idx="12">
                  <c:v>0.66666666666666663</c:v>
                </c:pt>
                <c:pt idx="13">
                  <c:v>1.1428571428571428</c:v>
                </c:pt>
                <c:pt idx="14">
                  <c:v>0.7142857142857143</c:v>
                </c:pt>
                <c:pt idx="15">
                  <c:v>0.8</c:v>
                </c:pt>
                <c:pt idx="16">
                  <c:v>1.2857142857142858</c:v>
                </c:pt>
                <c:pt idx="17">
                  <c:v>1.1428571428571428</c:v>
                </c:pt>
                <c:pt idx="18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04-4E9D-B4EC-22A9ABCBE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545039"/>
        <c:axId val="1466237071"/>
      </c:barChart>
      <c:catAx>
        <c:axId val="1704545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6237071"/>
        <c:crosses val="autoZero"/>
        <c:auto val="1"/>
        <c:lblAlgn val="ctr"/>
        <c:lblOffset val="100"/>
        <c:noMultiLvlLbl val="0"/>
      </c:catAx>
      <c:valAx>
        <c:axId val="14662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454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Stats Vente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Nombre intéractions clients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Feuil1!$B$2:$B$20</c:f>
              <c:strCache>
                <c:ptCount val="19"/>
                <c:pt idx="0">
                  <c:v>Mardi 2 </c:v>
                </c:pt>
                <c:pt idx="1">
                  <c:v>Mercredi 3 </c:v>
                </c:pt>
                <c:pt idx="2">
                  <c:v>Jeudi 4  </c:v>
                </c:pt>
                <c:pt idx="3">
                  <c:v>Vendredi 5  </c:v>
                </c:pt>
                <c:pt idx="4">
                  <c:v>Lundi 8</c:v>
                </c:pt>
                <c:pt idx="5">
                  <c:v>Mardi 9</c:v>
                </c:pt>
                <c:pt idx="6">
                  <c:v>Mercredi 10</c:v>
                </c:pt>
                <c:pt idx="7">
                  <c:v>Jeudi 11</c:v>
                </c:pt>
                <c:pt idx="8">
                  <c:v>Vendredi 12</c:v>
                </c:pt>
                <c:pt idx="9">
                  <c:v>Lundi 15</c:v>
                </c:pt>
                <c:pt idx="10">
                  <c:v>Mardi 16</c:v>
                </c:pt>
                <c:pt idx="11">
                  <c:v>Mercredi 17</c:v>
                </c:pt>
                <c:pt idx="12">
                  <c:v>Jeudi 18</c:v>
                </c:pt>
                <c:pt idx="13">
                  <c:v>Vendredi 19</c:v>
                </c:pt>
                <c:pt idx="14">
                  <c:v>Lundi 22</c:v>
                </c:pt>
                <c:pt idx="15">
                  <c:v>Mardi 23</c:v>
                </c:pt>
                <c:pt idx="16">
                  <c:v>Mercredi 24</c:v>
                </c:pt>
                <c:pt idx="17">
                  <c:v>Jeudi 25</c:v>
                </c:pt>
                <c:pt idx="18">
                  <c:v>Vendredi 26</c:v>
                </c:pt>
              </c:strCache>
            </c:strRef>
          </c:cat>
          <c:val>
            <c:numRef>
              <c:f>Feuil1!$C$2:$C$20</c:f>
              <c:numCache>
                <c:formatCode>General</c:formatCode>
                <c:ptCount val="19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9</c:v>
                </c:pt>
                <c:pt idx="8">
                  <c:v>18</c:v>
                </c:pt>
                <c:pt idx="9">
                  <c:v>13</c:v>
                </c:pt>
                <c:pt idx="10">
                  <c:v>7</c:v>
                </c:pt>
                <c:pt idx="11">
                  <c:v>4</c:v>
                </c:pt>
                <c:pt idx="12">
                  <c:v>3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C-41B1-A224-E7569347A288}"/>
            </c:ext>
          </c:extLst>
        </c:ser>
        <c:ser>
          <c:idx val="1"/>
          <c:order val="1"/>
          <c:tx>
            <c:strRef>
              <c:f>Feuil1!$D$1</c:f>
              <c:strCache>
                <c:ptCount val="1"/>
                <c:pt idx="0">
                  <c:v>Nombre de vente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Feuil1!$B$2:$B$20</c:f>
              <c:strCache>
                <c:ptCount val="19"/>
                <c:pt idx="0">
                  <c:v>Mardi 2 </c:v>
                </c:pt>
                <c:pt idx="1">
                  <c:v>Mercredi 3 </c:v>
                </c:pt>
                <c:pt idx="2">
                  <c:v>Jeudi 4  </c:v>
                </c:pt>
                <c:pt idx="3">
                  <c:v>Vendredi 5  </c:v>
                </c:pt>
                <c:pt idx="4">
                  <c:v>Lundi 8</c:v>
                </c:pt>
                <c:pt idx="5">
                  <c:v>Mardi 9</c:v>
                </c:pt>
                <c:pt idx="6">
                  <c:v>Mercredi 10</c:v>
                </c:pt>
                <c:pt idx="7">
                  <c:v>Jeudi 11</c:v>
                </c:pt>
                <c:pt idx="8">
                  <c:v>Vendredi 12</c:v>
                </c:pt>
                <c:pt idx="9">
                  <c:v>Lundi 15</c:v>
                </c:pt>
                <c:pt idx="10">
                  <c:v>Mardi 16</c:v>
                </c:pt>
                <c:pt idx="11">
                  <c:v>Mercredi 17</c:v>
                </c:pt>
                <c:pt idx="12">
                  <c:v>Jeudi 18</c:v>
                </c:pt>
                <c:pt idx="13">
                  <c:v>Vendredi 19</c:v>
                </c:pt>
                <c:pt idx="14">
                  <c:v>Lundi 22</c:v>
                </c:pt>
                <c:pt idx="15">
                  <c:v>Mardi 23</c:v>
                </c:pt>
                <c:pt idx="16">
                  <c:v>Mercredi 24</c:v>
                </c:pt>
                <c:pt idx="17">
                  <c:v>Jeudi 25</c:v>
                </c:pt>
                <c:pt idx="18">
                  <c:v>Vendredi 26</c:v>
                </c:pt>
              </c:strCache>
            </c:strRef>
          </c:cat>
          <c:val>
            <c:numRef>
              <c:f>Feuil1!$D$2:$D$20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15</c:v>
                </c:pt>
                <c:pt idx="9">
                  <c:v>10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8</c:v>
                </c:pt>
                <c:pt idx="14">
                  <c:v>5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C-41B1-A224-E7569347A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26646207"/>
        <c:axId val="1109367711"/>
      </c:barChart>
      <c:catAx>
        <c:axId val="9266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9367711"/>
        <c:crosses val="autoZero"/>
        <c:auto val="1"/>
        <c:lblAlgn val="ctr"/>
        <c:lblOffset val="100"/>
        <c:noMultiLvlLbl val="0"/>
      </c:catAx>
      <c:valAx>
        <c:axId val="1109367711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6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Feuil1!$D$22</c:f>
              <c:strCache>
                <c:ptCount val="1"/>
                <c:pt idx="0">
                  <c:v>Ratio intéractions- Vente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Feuil1!$A$23:$A$41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Feuil1!$D$23:$D$41</c:f>
              <c:numCache>
                <c:formatCode>0.0%</c:formatCode>
                <c:ptCount val="19"/>
                <c:pt idx="0">
                  <c:v>0.1</c:v>
                </c:pt>
                <c:pt idx="1">
                  <c:v>0.14285714285714285</c:v>
                </c:pt>
                <c:pt idx="2">
                  <c:v>0.44444444444444442</c:v>
                </c:pt>
                <c:pt idx="3">
                  <c:v>0.5</c:v>
                </c:pt>
                <c:pt idx="4">
                  <c:v>0.33333333333333331</c:v>
                </c:pt>
                <c:pt idx="5">
                  <c:v>0.4</c:v>
                </c:pt>
                <c:pt idx="6">
                  <c:v>0.4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0.76923076923076927</c:v>
                </c:pt>
                <c:pt idx="10">
                  <c:v>0.7142857142857143</c:v>
                </c:pt>
                <c:pt idx="11">
                  <c:v>0.75</c:v>
                </c:pt>
                <c:pt idx="12">
                  <c:v>0.66666666666666663</c:v>
                </c:pt>
                <c:pt idx="13">
                  <c:v>1.1428571428571428</c:v>
                </c:pt>
                <c:pt idx="14">
                  <c:v>0.7142857142857143</c:v>
                </c:pt>
                <c:pt idx="15">
                  <c:v>0.8</c:v>
                </c:pt>
                <c:pt idx="16">
                  <c:v>1.2857142857142858</c:v>
                </c:pt>
                <c:pt idx="17">
                  <c:v>1.1428571428571428</c:v>
                </c:pt>
                <c:pt idx="18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2-4CF4-818C-97DE078FD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455855"/>
        <c:axId val="1127447935"/>
      </c:lineChart>
      <c:catAx>
        <c:axId val="112545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7447935"/>
        <c:crosses val="autoZero"/>
        <c:auto val="1"/>
        <c:lblAlgn val="ctr"/>
        <c:lblOffset val="100"/>
        <c:noMultiLvlLbl val="0"/>
      </c:catAx>
      <c:valAx>
        <c:axId val="112744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545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Nombre de vente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Nombre de vente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Feuil1!$B$2:$B$20</c:f>
              <c:strCache>
                <c:ptCount val="19"/>
                <c:pt idx="0">
                  <c:v>Mardi 2 </c:v>
                </c:pt>
                <c:pt idx="1">
                  <c:v>Mercredi 3 </c:v>
                </c:pt>
                <c:pt idx="2">
                  <c:v>Jeudi 4  </c:v>
                </c:pt>
                <c:pt idx="3">
                  <c:v>Vendredi 5  </c:v>
                </c:pt>
                <c:pt idx="4">
                  <c:v>Lundi 8</c:v>
                </c:pt>
                <c:pt idx="5">
                  <c:v>Mardi 9</c:v>
                </c:pt>
                <c:pt idx="6">
                  <c:v>Mercredi 10</c:v>
                </c:pt>
                <c:pt idx="7">
                  <c:v>Jeudi 11</c:v>
                </c:pt>
                <c:pt idx="8">
                  <c:v>Vendredi 12</c:v>
                </c:pt>
                <c:pt idx="9">
                  <c:v>Lundi 15</c:v>
                </c:pt>
                <c:pt idx="10">
                  <c:v>Mardi 16</c:v>
                </c:pt>
                <c:pt idx="11">
                  <c:v>Mercredi 17</c:v>
                </c:pt>
                <c:pt idx="12">
                  <c:v>Jeudi 18</c:v>
                </c:pt>
                <c:pt idx="13">
                  <c:v>Vendredi 19</c:v>
                </c:pt>
                <c:pt idx="14">
                  <c:v>Lundi 22</c:v>
                </c:pt>
                <c:pt idx="15">
                  <c:v>Mardi 23</c:v>
                </c:pt>
                <c:pt idx="16">
                  <c:v>Mercredi 24</c:v>
                </c:pt>
                <c:pt idx="17">
                  <c:v>Jeudi 25</c:v>
                </c:pt>
                <c:pt idx="18">
                  <c:v>Vendredi 26</c:v>
                </c:pt>
              </c:strCache>
            </c:strRef>
          </c:cat>
          <c:val>
            <c:numRef>
              <c:f>Feuil1!$D$2:$D$20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15</c:v>
                </c:pt>
                <c:pt idx="9">
                  <c:v>10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8</c:v>
                </c:pt>
                <c:pt idx="14">
                  <c:v>5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1-4A88-96E7-4A8E80629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675520"/>
        <c:axId val="2088934464"/>
      </c:lineChart>
      <c:catAx>
        <c:axId val="209567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8934464"/>
        <c:crosses val="autoZero"/>
        <c:auto val="1"/>
        <c:lblAlgn val="ctr"/>
        <c:lblOffset val="100"/>
        <c:noMultiLvlLbl val="0"/>
      </c:catAx>
      <c:valAx>
        <c:axId val="20889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567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Nombre intéractions clients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Nombre intéractions clients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Feuil1!$B$2:$B$20</c:f>
              <c:strCache>
                <c:ptCount val="19"/>
                <c:pt idx="0">
                  <c:v>Mardi 2 </c:v>
                </c:pt>
                <c:pt idx="1">
                  <c:v>Mercredi 3 </c:v>
                </c:pt>
                <c:pt idx="2">
                  <c:v>Jeudi 4  </c:v>
                </c:pt>
                <c:pt idx="3">
                  <c:v>Vendredi 5  </c:v>
                </c:pt>
                <c:pt idx="4">
                  <c:v>Lundi 8</c:v>
                </c:pt>
                <c:pt idx="5">
                  <c:v>Mardi 9</c:v>
                </c:pt>
                <c:pt idx="6">
                  <c:v>Mercredi 10</c:v>
                </c:pt>
                <c:pt idx="7">
                  <c:v>Jeudi 11</c:v>
                </c:pt>
                <c:pt idx="8">
                  <c:v>Vendredi 12</c:v>
                </c:pt>
                <c:pt idx="9">
                  <c:v>Lundi 15</c:v>
                </c:pt>
                <c:pt idx="10">
                  <c:v>Mardi 16</c:v>
                </c:pt>
                <c:pt idx="11">
                  <c:v>Mercredi 17</c:v>
                </c:pt>
                <c:pt idx="12">
                  <c:v>Jeudi 18</c:v>
                </c:pt>
                <c:pt idx="13">
                  <c:v>Vendredi 19</c:v>
                </c:pt>
                <c:pt idx="14">
                  <c:v>Lundi 22</c:v>
                </c:pt>
                <c:pt idx="15">
                  <c:v>Mardi 23</c:v>
                </c:pt>
                <c:pt idx="16">
                  <c:v>Mercredi 24</c:v>
                </c:pt>
                <c:pt idx="17">
                  <c:v>Jeudi 25</c:v>
                </c:pt>
                <c:pt idx="18">
                  <c:v>Vendredi 26</c:v>
                </c:pt>
              </c:strCache>
            </c:strRef>
          </c:cat>
          <c:val>
            <c:numRef>
              <c:f>Feuil1!$C$2:$C$20</c:f>
              <c:numCache>
                <c:formatCode>General</c:formatCode>
                <c:ptCount val="19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9</c:v>
                </c:pt>
                <c:pt idx="8">
                  <c:v>18</c:v>
                </c:pt>
                <c:pt idx="9">
                  <c:v>13</c:v>
                </c:pt>
                <c:pt idx="10">
                  <c:v>7</c:v>
                </c:pt>
                <c:pt idx="11">
                  <c:v>4</c:v>
                </c:pt>
                <c:pt idx="12">
                  <c:v>3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D-416D-B39A-E2F1A7DC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675104"/>
        <c:axId val="130764528"/>
      </c:lineChart>
      <c:catAx>
        <c:axId val="209667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64528"/>
        <c:crosses val="autoZero"/>
        <c:auto val="1"/>
        <c:lblAlgn val="ctr"/>
        <c:lblOffset val="100"/>
        <c:noMultiLvlLbl val="0"/>
      </c:catAx>
      <c:valAx>
        <c:axId val="1307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667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%</a:t>
            </a:r>
            <a:r>
              <a:rPr lang="fr-FR" baseline="0"/>
              <a:t> CA par jour</a:t>
            </a:r>
            <a:endParaRPr lang="fr-F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Lbls>
            <c:dLbl>
              <c:idx val="2"/>
              <c:layout>
                <c:manualLayout>
                  <c:x val="-3.3193402318578376E-2"/>
                  <c:y val="9.035353816468143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375-46A3-99A7-D0D666A3C53D}"/>
                </c:ext>
              </c:extLst>
            </c:dLbl>
            <c:dLbl>
              <c:idx val="3"/>
              <c:layout>
                <c:manualLayout>
                  <c:x val="-7.3351309911135892E-2"/>
                  <c:y val="9.29076842930180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A375-46A3-99A7-D0D666A3C53D}"/>
                </c:ext>
              </c:extLst>
            </c:dLbl>
            <c:dLbl>
              <c:idx val="11"/>
              <c:layout>
                <c:manualLayout>
                  <c:x val="9.6511019724943761E-2"/>
                  <c:y val="-3.35013110817119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375-46A3-99A7-D0D666A3C53D}"/>
                </c:ext>
              </c:extLst>
            </c:dLbl>
            <c:dLbl>
              <c:idx val="12"/>
              <c:layout>
                <c:manualLayout>
                  <c:x val="8.4078991946371015E-2"/>
                  <c:y val="6.7778488997736466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375-46A3-99A7-D0D666A3C53D}"/>
                </c:ext>
              </c:extLst>
            </c:dLbl>
            <c:dLbl>
              <c:idx val="17"/>
              <c:layout>
                <c:manualLayout>
                  <c:x val="-0.16900541260243065"/>
                  <c:y val="-6.96246593457339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375-46A3-99A7-D0D666A3C53D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Feuil1!$A$2:$A$20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Feuil1!$C$23:$C$41</c:f>
              <c:numCache>
                <c:formatCode>0.00%</c:formatCode>
                <c:ptCount val="19"/>
                <c:pt idx="0">
                  <c:v>4.7052497143241249E-3</c:v>
                </c:pt>
                <c:pt idx="1">
                  <c:v>4.7052497143241249E-3</c:v>
                </c:pt>
                <c:pt idx="2">
                  <c:v>3.6297640653357534E-2</c:v>
                </c:pt>
                <c:pt idx="3">
                  <c:v>5.0413389796329908E-2</c:v>
                </c:pt>
                <c:pt idx="4">
                  <c:v>4.7052497143241249E-3</c:v>
                </c:pt>
                <c:pt idx="5">
                  <c:v>2.0165355918531962E-2</c:v>
                </c:pt>
                <c:pt idx="6">
                  <c:v>2.0165355918531962E-2</c:v>
                </c:pt>
                <c:pt idx="7">
                  <c:v>6.0496067755595885E-2</c:v>
                </c:pt>
                <c:pt idx="8">
                  <c:v>0.15124016938898971</c:v>
                </c:pt>
                <c:pt idx="9">
                  <c:v>0.10082677959265982</c:v>
                </c:pt>
                <c:pt idx="10">
                  <c:v>5.0413389796329908E-2</c:v>
                </c:pt>
                <c:pt idx="11">
                  <c:v>3.0248033877797943E-2</c:v>
                </c:pt>
                <c:pt idx="12">
                  <c:v>2.0165355918531962E-2</c:v>
                </c:pt>
                <c:pt idx="13">
                  <c:v>8.0661423674127847E-2</c:v>
                </c:pt>
                <c:pt idx="14">
                  <c:v>5.0665456745311553E-2</c:v>
                </c:pt>
                <c:pt idx="15">
                  <c:v>4.0532365396249243E-2</c:v>
                </c:pt>
                <c:pt idx="16">
                  <c:v>9.1197822141560803E-2</c:v>
                </c:pt>
                <c:pt idx="17">
                  <c:v>8.1064730792498485E-2</c:v>
                </c:pt>
                <c:pt idx="18">
                  <c:v>0.10133091349062311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B87-4EAA-8EC5-7EA8F956ABB3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B87-4EAA-8EC5-7EA8F956AB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B87-4EAA-8EC5-7EA8F956AB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B87-4EAA-8EC5-7EA8F956AB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B87-4EAA-8EC5-7EA8F956AB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B87-4EAA-8EC5-7EA8F956AB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B87-4EAA-8EC5-7EA8F956AB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B87-4EAA-8EC5-7EA8F956AB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B87-4EAA-8EC5-7EA8F956ABB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B87-4EAA-8EC5-7EA8F956ABB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B87-4EAA-8EC5-7EA8F956ABB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B87-4EAA-8EC5-7EA8F956ABB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B87-4EAA-8EC5-7EA8F956ABB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B87-4EAA-8EC5-7EA8F956ABB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FB87-4EAA-8EC5-7EA8F956ABB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FB87-4EAA-8EC5-7EA8F956ABB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FB87-4EAA-8EC5-7EA8F956ABB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FB87-4EAA-8EC5-7EA8F956ABB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FB87-4EAA-8EC5-7EA8F956ABB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FB87-4EAA-8EC5-7EA8F956AB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Feuil1!$A$2:$A$20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Feuil1!$C$23:$C$41</c:f>
              <c:numCache>
                <c:formatCode>0.00%</c:formatCode>
                <c:ptCount val="19"/>
                <c:pt idx="0">
                  <c:v>4.7052497143241249E-3</c:v>
                </c:pt>
                <c:pt idx="1">
                  <c:v>4.7052497143241249E-3</c:v>
                </c:pt>
                <c:pt idx="2">
                  <c:v>3.6297640653357534E-2</c:v>
                </c:pt>
                <c:pt idx="3">
                  <c:v>5.0413389796329908E-2</c:v>
                </c:pt>
                <c:pt idx="4">
                  <c:v>4.7052497143241249E-3</c:v>
                </c:pt>
                <c:pt idx="5">
                  <c:v>2.0165355918531962E-2</c:v>
                </c:pt>
                <c:pt idx="6">
                  <c:v>2.0165355918531962E-2</c:v>
                </c:pt>
                <c:pt idx="7">
                  <c:v>6.0496067755595885E-2</c:v>
                </c:pt>
                <c:pt idx="8">
                  <c:v>0.15124016938898971</c:v>
                </c:pt>
                <c:pt idx="9">
                  <c:v>0.10082677959265982</c:v>
                </c:pt>
                <c:pt idx="10">
                  <c:v>5.0413389796329908E-2</c:v>
                </c:pt>
                <c:pt idx="11">
                  <c:v>3.0248033877797943E-2</c:v>
                </c:pt>
                <c:pt idx="12">
                  <c:v>2.0165355918531962E-2</c:v>
                </c:pt>
                <c:pt idx="13">
                  <c:v>8.0661423674127847E-2</c:v>
                </c:pt>
                <c:pt idx="14">
                  <c:v>5.0665456745311553E-2</c:v>
                </c:pt>
                <c:pt idx="15">
                  <c:v>4.0532365396249243E-2</c:v>
                </c:pt>
                <c:pt idx="16">
                  <c:v>9.1197822141560803E-2</c:v>
                </c:pt>
                <c:pt idx="17">
                  <c:v>8.1064730792498485E-2</c:v>
                </c:pt>
                <c:pt idx="18">
                  <c:v>0.10133091349062311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B87-4EAA-8EC5-7EA8F956AB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ln w="28575">
      <a:solidFill>
        <a:sysClr val="windowText" lastClr="000000"/>
      </a:solidFill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Feuil1!$B$22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Feuil1!$A$23:$A$41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Feuil1!$B$23:$B$41</c:f>
              <c:numCache>
                <c:formatCode>_-* #,##0.00\ [$€-40C]_-;\-* #,##0.00\ [$€-40C]_-;_-* "-"??\ [$€-40C]_-;_-@_-</c:formatCode>
                <c:ptCount val="19"/>
                <c:pt idx="0">
                  <c:v>70</c:v>
                </c:pt>
                <c:pt idx="1">
                  <c:v>70</c:v>
                </c:pt>
                <c:pt idx="2">
                  <c:v>540</c:v>
                </c:pt>
                <c:pt idx="3">
                  <c:v>750</c:v>
                </c:pt>
                <c:pt idx="4">
                  <c:v>70</c:v>
                </c:pt>
                <c:pt idx="5">
                  <c:v>300</c:v>
                </c:pt>
                <c:pt idx="6">
                  <c:v>300</c:v>
                </c:pt>
                <c:pt idx="7">
                  <c:v>900</c:v>
                </c:pt>
                <c:pt idx="8">
                  <c:v>2250</c:v>
                </c:pt>
                <c:pt idx="9">
                  <c:v>1500</c:v>
                </c:pt>
                <c:pt idx="10">
                  <c:v>750</c:v>
                </c:pt>
                <c:pt idx="11">
                  <c:v>450</c:v>
                </c:pt>
                <c:pt idx="12">
                  <c:v>300</c:v>
                </c:pt>
                <c:pt idx="13">
                  <c:v>1200</c:v>
                </c:pt>
                <c:pt idx="14">
                  <c:v>753.75</c:v>
                </c:pt>
                <c:pt idx="15">
                  <c:v>603</c:v>
                </c:pt>
                <c:pt idx="16">
                  <c:v>1356.75</c:v>
                </c:pt>
                <c:pt idx="17">
                  <c:v>1206</c:v>
                </c:pt>
                <c:pt idx="18">
                  <c:v>1507.5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5-4EAD-9C47-F02415EDD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260687"/>
        <c:axId val="776156127"/>
      </c:lineChart>
      <c:catAx>
        <c:axId val="43126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6156127"/>
        <c:crosses val="autoZero"/>
        <c:auto val="1"/>
        <c:lblAlgn val="ctr"/>
        <c:lblOffset val="100"/>
        <c:noMultiLvlLbl val="0"/>
      </c:catAx>
      <c:valAx>
        <c:axId val="7761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126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</a:t>
            </a:r>
            <a:r>
              <a:rPr lang="fr-FR" baseline="0"/>
              <a:t> par semaine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Feuil1!$P$2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Feuil1!$Q$1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Feuil1!$Q$2</c:f>
              <c:numCache>
                <c:formatCode>_-* #,##0.00\ [$€-40C]_-;\-* #,##0.00\ [$€-40C]_-;_-* "-"??\ [$€-40C]_-;_-@_-</c:formatCode>
                <c:ptCount val="1"/>
                <c:pt idx="0">
                  <c:v>1430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C-4825-A131-789560B9B281}"/>
            </c:ext>
          </c:extLst>
        </c:ser>
        <c:ser>
          <c:idx val="1"/>
          <c:order val="1"/>
          <c:tx>
            <c:strRef>
              <c:f>Feuil1!$P$3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Feuil1!$Q$1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Feuil1!$Q$3</c:f>
              <c:numCache>
                <c:formatCode>_-* #,##0.00\ [$€-40C]_-;\-* #,##0.00\ [$€-40C]_-;_-* "-"??\ [$€-40C]_-;_-@_-</c:formatCode>
                <c:ptCount val="1"/>
                <c:pt idx="0">
                  <c:v>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C-4825-A131-789560B9B281}"/>
            </c:ext>
          </c:extLst>
        </c:ser>
        <c:ser>
          <c:idx val="2"/>
          <c:order val="2"/>
          <c:tx>
            <c:strRef>
              <c:f>Feuil1!$P$4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Feuil1!$Q$1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Feuil1!$Q$4</c:f>
              <c:numCache>
                <c:formatCode>_-* #,##0.00\ [$€-40C]_-;\-* #,##0.00\ [$€-40C]_-;_-* "-"??\ [$€-40C]_-;_-@_-</c:formatCode>
                <c:ptCount val="1"/>
                <c:pt idx="0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C-4825-A131-789560B9B281}"/>
            </c:ext>
          </c:extLst>
        </c:ser>
        <c:ser>
          <c:idx val="3"/>
          <c:order val="3"/>
          <c:tx>
            <c:strRef>
              <c:f>Feuil1!$P$5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Feuil1!$Q$1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Feuil1!$Q$5</c:f>
              <c:numCache>
                <c:formatCode>_-* #,##0.00\ [$€-40C]_-;\-* #,##0.00\ [$€-40C]_-;_-* "-"??\ [$€-40C]_-;_-@_-</c:formatCode>
                <c:ptCount val="1"/>
                <c:pt idx="0">
                  <c:v>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4C-4825-A131-789560B9B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153408"/>
        <c:axId val="770354416"/>
      </c:barChart>
      <c:catAx>
        <c:axId val="91815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0354416"/>
        <c:crosses val="autoZero"/>
        <c:auto val="1"/>
        <c:lblAlgn val="ctr"/>
        <c:lblOffset val="100"/>
        <c:noMultiLvlLbl val="0"/>
      </c:catAx>
      <c:valAx>
        <c:axId val="77035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15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Intéractions par semaine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Feuil1!$R$1</c:f>
              <c:strCache>
                <c:ptCount val="1"/>
                <c:pt idx="0">
                  <c:v>Intéractions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E8-4E30-AACD-36E31EA7CC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E8-4E30-AACD-36E31EA7CC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E8-4E30-AACD-36E31EA7CC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E8-4E30-AACD-36E31EA7CC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Feuil1!$P$2:$P$5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Feuil1!$R$2:$R$5</c:f>
              <c:numCache>
                <c:formatCode>General</c:formatCode>
                <c:ptCount val="4"/>
                <c:pt idx="0">
                  <c:v>36</c:v>
                </c:pt>
                <c:pt idx="1">
                  <c:v>40</c:v>
                </c:pt>
                <c:pt idx="2">
                  <c:v>34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2-4B62-A5EF-BB9D1A1F79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par semaine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Feuil1!$S$1</c:f>
              <c:strCache>
                <c:ptCount val="1"/>
                <c:pt idx="0">
                  <c:v>Ventes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F7-4B7A-B45A-23C9C0414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F7-4B7A-B45A-23C9C0414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F7-4B7A-B45A-23C9C0414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F7-4B7A-B45A-23C9C0414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Feuil1!$P$2:$P$5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Feuil1!$S$2:$S$5</c:f>
              <c:numCache>
                <c:formatCode>General</c:formatCode>
                <c:ptCount val="4"/>
                <c:pt idx="0">
                  <c:v>11</c:v>
                </c:pt>
                <c:pt idx="1">
                  <c:v>26</c:v>
                </c:pt>
                <c:pt idx="2">
                  <c:v>28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E-4730-AF66-8A91E12089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Feuil1!$Q$1</c:f>
              <c:strCache>
                <c:ptCount val="1"/>
                <c:pt idx="0">
                  <c:v>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30F-419E-9C43-F5717ED583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21-4714-A44B-C40EB4C994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21-4714-A44B-C40EB4C994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21-4714-A44B-C40EB4C99416}"/>
              </c:ext>
            </c:extLst>
          </c:dPt>
          <c:dLbls>
            <c:dLbl>
              <c:idx val="0"/>
              <c:layout>
                <c:manualLayout>
                  <c:x val="-5.8610429791373431E-2"/>
                  <c:y val="1.793329362491236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0F-419E-9C43-F5717ED58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Feuil1!$P$2:$P$5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Feuil1!$Q$2:$Q$5</c:f>
              <c:numCache>
                <c:formatCode>_-* #,##0.00\ [$€-40C]_-;\-* #,##0.00\ [$€-40C]_-;_-* "-"??\ [$€-40C]_-;_-@_-</c:formatCode>
                <c:ptCount val="4"/>
                <c:pt idx="0">
                  <c:v>1430</c:v>
                </c:pt>
                <c:pt idx="1">
                  <c:v>3820</c:v>
                </c:pt>
                <c:pt idx="2">
                  <c:v>4200</c:v>
                </c:pt>
                <c:pt idx="3">
                  <c:v>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F-419E-9C43-F5717ED583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901518-3B63-4965-9BC4-48A51D79BCD1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0824FAE-4E95-D268-8D9B-A9BFF72399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103094</xdr:colOff>
      <xdr:row>0</xdr:row>
      <xdr:rowOff>69790</xdr:rowOff>
    </xdr:from>
    <xdr:to>
      <xdr:col>10</xdr:col>
      <xdr:colOff>17911</xdr:colOff>
      <xdr:row>16</xdr:row>
      <xdr:rowOff>19846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25BE0A-C0D0-AD05-D6E1-B8FE6B88F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54535</xdr:colOff>
      <xdr:row>0</xdr:row>
      <xdr:rowOff>69790</xdr:rowOff>
    </xdr:from>
    <xdr:to>
      <xdr:col>14</xdr:col>
      <xdr:colOff>184000</xdr:colOff>
      <xdr:row>16</xdr:row>
      <xdr:rowOff>19846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61C2010-9A46-576A-1846-5C9E809C6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107653</xdr:colOff>
      <xdr:row>16</xdr:row>
      <xdr:rowOff>58119</xdr:rowOff>
    </xdr:from>
    <xdr:to>
      <xdr:col>10</xdr:col>
      <xdr:colOff>13352</xdr:colOff>
      <xdr:row>31</xdr:row>
      <xdr:rowOff>179824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53A37A-E79A-2C9B-1A49-4534F9224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56349</xdr:colOff>
      <xdr:row>16</xdr:row>
      <xdr:rowOff>56847</xdr:rowOff>
    </xdr:from>
    <xdr:to>
      <xdr:col>14</xdr:col>
      <xdr:colOff>182186</xdr:colOff>
      <xdr:row>32</xdr:row>
      <xdr:rowOff>26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8B4BC62-DEE7-BC1C-ECD4-45BB3A266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51780</xdr:colOff>
      <xdr:row>32</xdr:row>
      <xdr:rowOff>27709</xdr:rowOff>
    </xdr:from>
    <xdr:to>
      <xdr:col>14</xdr:col>
      <xdr:colOff>193963</xdr:colOff>
      <xdr:row>48</xdr:row>
      <xdr:rowOff>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0C919A1-D935-DFDA-A6B5-5913D5619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107653</xdr:colOff>
      <xdr:row>32</xdr:row>
      <xdr:rowOff>45157</xdr:rowOff>
    </xdr:from>
    <xdr:to>
      <xdr:col>10</xdr:col>
      <xdr:colOff>13352</xdr:colOff>
      <xdr:row>47</xdr:row>
      <xdr:rowOff>173223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D009443-5F28-79FB-94C3-78132BC22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257024</xdr:colOff>
      <xdr:row>6</xdr:row>
      <xdr:rowOff>35011</xdr:rowOff>
    </xdr:from>
    <xdr:to>
      <xdr:col>19</xdr:col>
      <xdr:colOff>431298</xdr:colOff>
      <xdr:row>21</xdr:row>
      <xdr:rowOff>150592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BF045D86-BAFA-6AE6-1F03-A84CB755F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165652</xdr:colOff>
      <xdr:row>16</xdr:row>
      <xdr:rowOff>93765</xdr:rowOff>
    </xdr:from>
    <xdr:to>
      <xdr:col>18</xdr:col>
      <xdr:colOff>476250</xdr:colOff>
      <xdr:row>27</xdr:row>
      <xdr:rowOff>10886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19BD16E-4FF9-3750-9819-3C670C03C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169984</xdr:colOff>
      <xdr:row>37</xdr:row>
      <xdr:rowOff>152400</xdr:rowOff>
    </xdr:from>
    <xdr:to>
      <xdr:col>18</xdr:col>
      <xdr:colOff>476251</xdr:colOff>
      <xdr:row>48</xdr:row>
      <xdr:rowOff>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956B90D-CEE0-B37A-4C8D-B6610CC65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166254</xdr:colOff>
      <xdr:row>27</xdr:row>
      <xdr:rowOff>1</xdr:rowOff>
    </xdr:from>
    <xdr:to>
      <xdr:col>18</xdr:col>
      <xdr:colOff>476250</xdr:colOff>
      <xdr:row>37</xdr:row>
      <xdr:rowOff>171450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AE91690-73EA-121F-B442-37FAC5F88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0.08488</cdr:x>
      <cdr:y>0.8273</cdr:y>
    </cdr:from>
    <cdr:to>
      <cdr:x>0.22537</cdr:x>
      <cdr:y>0.91033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DA478F4D-3B04-9A25-CADF-D47D8BDDDC70}"/>
            </a:ext>
          </a:extLst>
        </cdr:cNvPr>
        <cdr:cNvSpPr txBox="1"/>
      </cdr:nvSpPr>
      <cdr:spPr>
        <a:xfrm xmlns:a="http://schemas.openxmlformats.org/drawingml/2006/main">
          <a:off x="494731" y="2833049"/>
          <a:ext cx="818866" cy="284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Jours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C31A-45D9-4A5E-BF19-CE88FE259F51}">
  <dimension ref="A1:U43"/>
  <sheetViews>
    <sheetView tabSelected="1" zoomScale="55" zoomScaleNormal="55" workbookViewId="0">
      <selection activeCell="V17" sqref="V17"/>
    </sheetView>
  </sheetViews>
  <sheetFormatPr baseColWidth="10" defaultRowHeight="14.4" x14ac:dyDescent="0.3"/>
  <cols>
    <col min="1" max="1" width="5.33203125" bestFit="1" customWidth="1"/>
    <col min="2" max="2" width="16.44140625" bestFit="1" customWidth="1"/>
    <col min="3" max="3" width="24.21875" bestFit="1" customWidth="1"/>
    <col min="4" max="4" width="22.44140625" bestFit="1" customWidth="1"/>
    <col min="11" max="12" width="21.5546875" bestFit="1" customWidth="1"/>
    <col min="17" max="17" width="13.21875" bestFit="1" customWidth="1"/>
    <col min="18" max="18" width="11.88671875" bestFit="1" customWidth="1"/>
  </cols>
  <sheetData>
    <row r="1" spans="1:21" ht="15.6" thickTop="1" thickBot="1" x14ac:dyDescent="0.35">
      <c r="A1" s="21" t="s">
        <v>0</v>
      </c>
      <c r="B1" s="22" t="s">
        <v>2</v>
      </c>
      <c r="C1" s="23" t="s">
        <v>22</v>
      </c>
      <c r="D1" s="24" t="s">
        <v>1</v>
      </c>
      <c r="P1" s="11" t="s">
        <v>28</v>
      </c>
      <c r="Q1" s="11" t="s">
        <v>24</v>
      </c>
      <c r="R1" s="11" t="s">
        <v>29</v>
      </c>
      <c r="S1" s="11" t="s">
        <v>30</v>
      </c>
    </row>
    <row r="2" spans="1:21" ht="15" thickTop="1" x14ac:dyDescent="0.3">
      <c r="A2" s="17">
        <v>1</v>
      </c>
      <c r="B2" s="18" t="s">
        <v>6</v>
      </c>
      <c r="C2" s="19">
        <v>10</v>
      </c>
      <c r="D2" s="20">
        <v>1</v>
      </c>
      <c r="P2" s="28">
        <v>1</v>
      </c>
      <c r="Q2" s="29">
        <f>SUM(B23:B26)</f>
        <v>1430</v>
      </c>
      <c r="R2" s="28">
        <f>SUM(C2:C5)</f>
        <v>36</v>
      </c>
      <c r="S2" s="28">
        <f>SUM(D2:D5)</f>
        <v>11</v>
      </c>
    </row>
    <row r="3" spans="1:21" x14ac:dyDescent="0.3">
      <c r="A3" s="1">
        <v>2</v>
      </c>
      <c r="B3" s="6" t="s">
        <v>5</v>
      </c>
      <c r="C3" s="2">
        <v>7</v>
      </c>
      <c r="D3" s="3">
        <v>1</v>
      </c>
      <c r="P3" s="28">
        <v>2</v>
      </c>
      <c r="Q3" s="29">
        <f>SUM(B27:B31)</f>
        <v>3820</v>
      </c>
      <c r="R3" s="28">
        <f>SUM(C6:C10)</f>
        <v>40</v>
      </c>
      <c r="S3" s="28">
        <f>SUM(D6:D10)</f>
        <v>26</v>
      </c>
    </row>
    <row r="4" spans="1:21" x14ac:dyDescent="0.3">
      <c r="A4" s="1">
        <v>3</v>
      </c>
      <c r="B4" s="6" t="s">
        <v>4</v>
      </c>
      <c r="C4" s="2">
        <v>9</v>
      </c>
      <c r="D4" s="3">
        <v>4</v>
      </c>
      <c r="P4" s="28">
        <v>3</v>
      </c>
      <c r="Q4" s="29">
        <f>SUM(B32:B36)</f>
        <v>4200</v>
      </c>
      <c r="R4" s="28">
        <f>SUM(C11:C15)</f>
        <v>34</v>
      </c>
      <c r="S4" s="28">
        <f>SUM(D11:D15)</f>
        <v>28</v>
      </c>
    </row>
    <row r="5" spans="1:21" ht="15" thickBot="1" x14ac:dyDescent="0.35">
      <c r="A5" s="1">
        <v>4</v>
      </c>
      <c r="B5" s="6" t="s">
        <v>3</v>
      </c>
      <c r="C5" s="2">
        <v>10</v>
      </c>
      <c r="D5" s="3">
        <v>5</v>
      </c>
      <c r="P5" s="30">
        <v>4</v>
      </c>
      <c r="Q5" s="12">
        <f>SUM(B37:B41)</f>
        <v>5427</v>
      </c>
      <c r="R5" s="30">
        <f>SUM(C16:C20)</f>
        <v>34</v>
      </c>
      <c r="S5" s="30">
        <f>SUM(D16:D20)</f>
        <v>36</v>
      </c>
      <c r="T5" t="s">
        <v>32</v>
      </c>
      <c r="U5" t="s">
        <v>32</v>
      </c>
    </row>
    <row r="6" spans="1:21" ht="15" thickBot="1" x14ac:dyDescent="0.35">
      <c r="A6" s="1">
        <v>5</v>
      </c>
      <c r="B6" s="6" t="s">
        <v>7</v>
      </c>
      <c r="C6" s="2">
        <v>3</v>
      </c>
      <c r="D6" s="3">
        <v>1</v>
      </c>
      <c r="P6" s="31" t="s">
        <v>31</v>
      </c>
      <c r="Q6" s="32">
        <f>SUM(Q2:Q5)</f>
        <v>14877</v>
      </c>
      <c r="R6" s="31">
        <f>SUM(R2:R5)</f>
        <v>144</v>
      </c>
      <c r="S6" s="31">
        <f>SUM(S2:S5)</f>
        <v>101</v>
      </c>
    </row>
    <row r="7" spans="1:21" x14ac:dyDescent="0.3">
      <c r="A7" s="1">
        <v>6</v>
      </c>
      <c r="B7" s="6" t="s">
        <v>10</v>
      </c>
      <c r="C7" s="2">
        <v>5</v>
      </c>
      <c r="D7" s="3">
        <v>2</v>
      </c>
    </row>
    <row r="8" spans="1:21" x14ac:dyDescent="0.3">
      <c r="A8" s="1">
        <v>7</v>
      </c>
      <c r="B8" s="6" t="s">
        <v>11</v>
      </c>
      <c r="C8" s="2">
        <v>5</v>
      </c>
      <c r="D8" s="3">
        <v>2</v>
      </c>
    </row>
    <row r="9" spans="1:21" x14ac:dyDescent="0.3">
      <c r="A9" s="1">
        <v>8</v>
      </c>
      <c r="B9" s="6" t="s">
        <v>12</v>
      </c>
      <c r="C9" s="2">
        <v>9</v>
      </c>
      <c r="D9" s="3">
        <v>6</v>
      </c>
    </row>
    <row r="10" spans="1:21" x14ac:dyDescent="0.3">
      <c r="A10" s="1">
        <v>9</v>
      </c>
      <c r="B10" s="6" t="s">
        <v>8</v>
      </c>
      <c r="C10" s="2">
        <v>18</v>
      </c>
      <c r="D10" s="3">
        <v>15</v>
      </c>
    </row>
    <row r="11" spans="1:21" x14ac:dyDescent="0.3">
      <c r="A11" s="1">
        <v>10</v>
      </c>
      <c r="B11" s="6" t="s">
        <v>9</v>
      </c>
      <c r="C11" s="2">
        <v>13</v>
      </c>
      <c r="D11" s="3">
        <v>10</v>
      </c>
    </row>
    <row r="12" spans="1:21" x14ac:dyDescent="0.3">
      <c r="A12" s="1">
        <v>11</v>
      </c>
      <c r="B12" s="6" t="s">
        <v>13</v>
      </c>
      <c r="C12" s="2">
        <v>7</v>
      </c>
      <c r="D12" s="3">
        <v>5</v>
      </c>
    </row>
    <row r="13" spans="1:21" x14ac:dyDescent="0.3">
      <c r="A13" s="1">
        <v>12</v>
      </c>
      <c r="B13" s="6" t="s">
        <v>14</v>
      </c>
      <c r="C13" s="2">
        <v>4</v>
      </c>
      <c r="D13" s="3">
        <v>3</v>
      </c>
    </row>
    <row r="14" spans="1:21" x14ac:dyDescent="0.3">
      <c r="A14" s="1">
        <v>13</v>
      </c>
      <c r="B14" s="6" t="s">
        <v>15</v>
      </c>
      <c r="C14" s="2">
        <v>3</v>
      </c>
      <c r="D14" s="3">
        <v>2</v>
      </c>
    </row>
    <row r="15" spans="1:21" x14ac:dyDescent="0.3">
      <c r="A15" s="1">
        <v>14</v>
      </c>
      <c r="B15" s="6" t="s">
        <v>16</v>
      </c>
      <c r="C15" s="2">
        <v>7</v>
      </c>
      <c r="D15" s="3">
        <v>8</v>
      </c>
    </row>
    <row r="16" spans="1:21" x14ac:dyDescent="0.3">
      <c r="A16" s="1">
        <v>15</v>
      </c>
      <c r="B16" s="6" t="s">
        <v>17</v>
      </c>
      <c r="C16" s="2">
        <v>7</v>
      </c>
      <c r="D16" s="3">
        <v>5</v>
      </c>
    </row>
    <row r="17" spans="1:4" x14ac:dyDescent="0.3">
      <c r="A17" s="1">
        <v>16</v>
      </c>
      <c r="B17" s="6" t="s">
        <v>18</v>
      </c>
      <c r="C17" s="2">
        <v>5</v>
      </c>
      <c r="D17" s="3">
        <v>4</v>
      </c>
    </row>
    <row r="18" spans="1:4" x14ac:dyDescent="0.3">
      <c r="A18" s="1">
        <v>17</v>
      </c>
      <c r="B18" s="6" t="s">
        <v>19</v>
      </c>
      <c r="C18" s="2">
        <v>7</v>
      </c>
      <c r="D18" s="3">
        <v>9</v>
      </c>
    </row>
    <row r="19" spans="1:4" x14ac:dyDescent="0.3">
      <c r="A19" s="1">
        <v>18</v>
      </c>
      <c r="B19" s="6" t="s">
        <v>20</v>
      </c>
      <c r="C19" s="2">
        <v>7</v>
      </c>
      <c r="D19" s="3">
        <v>8</v>
      </c>
    </row>
    <row r="20" spans="1:4" ht="15" thickBot="1" x14ac:dyDescent="0.35">
      <c r="A20" s="4">
        <v>19</v>
      </c>
      <c r="B20" s="7" t="s">
        <v>21</v>
      </c>
      <c r="C20" s="5">
        <v>8</v>
      </c>
      <c r="D20" s="8">
        <v>10</v>
      </c>
    </row>
    <row r="21" spans="1:4" ht="15.6" thickTop="1" thickBot="1" x14ac:dyDescent="0.35"/>
    <row r="22" spans="1:4" ht="15.6" thickTop="1" thickBot="1" x14ac:dyDescent="0.35">
      <c r="A22" s="21" t="s">
        <v>0</v>
      </c>
      <c r="B22" s="22" t="s">
        <v>24</v>
      </c>
      <c r="C22" s="23" t="s">
        <v>26</v>
      </c>
      <c r="D22" s="24" t="s">
        <v>23</v>
      </c>
    </row>
    <row r="23" spans="1:4" ht="15" thickTop="1" x14ac:dyDescent="0.3">
      <c r="A23" s="17">
        <v>1</v>
      </c>
      <c r="B23" s="25">
        <v>70</v>
      </c>
      <c r="C23" s="26">
        <f t="shared" ref="C23:C41" si="0">B23/$B$43</f>
        <v>4.7052497143241249E-3</v>
      </c>
      <c r="D23" s="27">
        <f t="shared" ref="D23:D41" si="1">D2/C2</f>
        <v>0.1</v>
      </c>
    </row>
    <row r="24" spans="1:4" x14ac:dyDescent="0.3">
      <c r="A24" s="1">
        <v>2</v>
      </c>
      <c r="B24" s="13">
        <v>70</v>
      </c>
      <c r="C24" s="14">
        <f t="shared" si="0"/>
        <v>4.7052497143241249E-3</v>
      </c>
      <c r="D24" s="9">
        <f t="shared" si="1"/>
        <v>0.14285714285714285</v>
      </c>
    </row>
    <row r="25" spans="1:4" x14ac:dyDescent="0.3">
      <c r="A25" s="1">
        <v>3</v>
      </c>
      <c r="B25" s="13">
        <f>70+70+200+200</f>
        <v>540</v>
      </c>
      <c r="C25" s="14">
        <f t="shared" si="0"/>
        <v>3.6297640653357534E-2</v>
      </c>
      <c r="D25" s="9">
        <f t="shared" si="1"/>
        <v>0.44444444444444442</v>
      </c>
    </row>
    <row r="26" spans="1:4" x14ac:dyDescent="0.3">
      <c r="A26" s="1">
        <v>4</v>
      </c>
      <c r="B26" s="13">
        <f>D5*150</f>
        <v>750</v>
      </c>
      <c r="C26" s="14">
        <f t="shared" si="0"/>
        <v>5.0413389796329908E-2</v>
      </c>
      <c r="D26" s="9">
        <f t="shared" si="1"/>
        <v>0.5</v>
      </c>
    </row>
    <row r="27" spans="1:4" x14ac:dyDescent="0.3">
      <c r="A27" s="1">
        <v>5</v>
      </c>
      <c r="B27" s="13">
        <v>70</v>
      </c>
      <c r="C27" s="14">
        <f t="shared" si="0"/>
        <v>4.7052497143241249E-3</v>
      </c>
      <c r="D27" s="9">
        <f t="shared" si="1"/>
        <v>0.33333333333333331</v>
      </c>
    </row>
    <row r="28" spans="1:4" x14ac:dyDescent="0.3">
      <c r="A28" s="1">
        <v>6</v>
      </c>
      <c r="B28" s="13">
        <f t="shared" ref="B28:B36" si="2">D7*150</f>
        <v>300</v>
      </c>
      <c r="C28" s="14">
        <f t="shared" si="0"/>
        <v>2.0165355918531962E-2</v>
      </c>
      <c r="D28" s="9">
        <f t="shared" si="1"/>
        <v>0.4</v>
      </c>
    </row>
    <row r="29" spans="1:4" x14ac:dyDescent="0.3">
      <c r="A29" s="1">
        <v>7</v>
      </c>
      <c r="B29" s="13">
        <f t="shared" si="2"/>
        <v>300</v>
      </c>
      <c r="C29" s="14">
        <f t="shared" si="0"/>
        <v>2.0165355918531962E-2</v>
      </c>
      <c r="D29" s="9">
        <f t="shared" si="1"/>
        <v>0.4</v>
      </c>
    </row>
    <row r="30" spans="1:4" x14ac:dyDescent="0.3">
      <c r="A30" s="1">
        <v>8</v>
      </c>
      <c r="B30" s="13">
        <f t="shared" si="2"/>
        <v>900</v>
      </c>
      <c r="C30" s="14">
        <f t="shared" si="0"/>
        <v>6.0496067755595885E-2</v>
      </c>
      <c r="D30" s="9">
        <f t="shared" si="1"/>
        <v>0.66666666666666663</v>
      </c>
    </row>
    <row r="31" spans="1:4" x14ac:dyDescent="0.3">
      <c r="A31" s="1">
        <v>9</v>
      </c>
      <c r="B31" s="13">
        <f t="shared" si="2"/>
        <v>2250</v>
      </c>
      <c r="C31" s="14">
        <f t="shared" si="0"/>
        <v>0.15124016938898971</v>
      </c>
      <c r="D31" s="9">
        <f t="shared" si="1"/>
        <v>0.83333333333333337</v>
      </c>
    </row>
    <row r="32" spans="1:4" x14ac:dyDescent="0.3">
      <c r="A32" s="1">
        <v>10</v>
      </c>
      <c r="B32" s="13">
        <f t="shared" si="2"/>
        <v>1500</v>
      </c>
      <c r="C32" s="14">
        <f t="shared" si="0"/>
        <v>0.10082677959265982</v>
      </c>
      <c r="D32" s="9">
        <f t="shared" si="1"/>
        <v>0.76923076923076927</v>
      </c>
    </row>
    <row r="33" spans="1:4" x14ac:dyDescent="0.3">
      <c r="A33" s="1">
        <v>11</v>
      </c>
      <c r="B33" s="13">
        <f t="shared" si="2"/>
        <v>750</v>
      </c>
      <c r="C33" s="14">
        <f t="shared" si="0"/>
        <v>5.0413389796329908E-2</v>
      </c>
      <c r="D33" s="9">
        <f t="shared" si="1"/>
        <v>0.7142857142857143</v>
      </c>
    </row>
    <row r="34" spans="1:4" x14ac:dyDescent="0.3">
      <c r="A34" s="1">
        <v>12</v>
      </c>
      <c r="B34" s="13">
        <f t="shared" si="2"/>
        <v>450</v>
      </c>
      <c r="C34" s="14">
        <f t="shared" si="0"/>
        <v>3.0248033877797943E-2</v>
      </c>
      <c r="D34" s="9">
        <f t="shared" si="1"/>
        <v>0.75</v>
      </c>
    </row>
    <row r="35" spans="1:4" x14ac:dyDescent="0.3">
      <c r="A35" s="1">
        <v>13</v>
      </c>
      <c r="B35" s="13">
        <f t="shared" si="2"/>
        <v>300</v>
      </c>
      <c r="C35" s="14">
        <f t="shared" si="0"/>
        <v>2.0165355918531962E-2</v>
      </c>
      <c r="D35" s="9">
        <f t="shared" si="1"/>
        <v>0.66666666666666663</v>
      </c>
    </row>
    <row r="36" spans="1:4" x14ac:dyDescent="0.3">
      <c r="A36" s="1">
        <v>14</v>
      </c>
      <c r="B36" s="13">
        <f t="shared" si="2"/>
        <v>1200</v>
      </c>
      <c r="C36" s="14">
        <f t="shared" si="0"/>
        <v>8.0661423674127847E-2</v>
      </c>
      <c r="D36" s="9">
        <f t="shared" si="1"/>
        <v>1.1428571428571428</v>
      </c>
    </row>
    <row r="37" spans="1:4" x14ac:dyDescent="0.3">
      <c r="A37" s="1">
        <v>15</v>
      </c>
      <c r="B37" s="13">
        <f>D16*150.75</f>
        <v>753.75</v>
      </c>
      <c r="C37" s="14">
        <f t="shared" si="0"/>
        <v>5.0665456745311553E-2</v>
      </c>
      <c r="D37" s="9">
        <f t="shared" si="1"/>
        <v>0.7142857142857143</v>
      </c>
    </row>
    <row r="38" spans="1:4" x14ac:dyDescent="0.3">
      <c r="A38" s="1">
        <v>16</v>
      </c>
      <c r="B38" s="13">
        <f>D17*150.75</f>
        <v>603</v>
      </c>
      <c r="C38" s="14">
        <f t="shared" si="0"/>
        <v>4.0532365396249243E-2</v>
      </c>
      <c r="D38" s="9">
        <f t="shared" si="1"/>
        <v>0.8</v>
      </c>
    </row>
    <row r="39" spans="1:4" x14ac:dyDescent="0.3">
      <c r="A39" s="1">
        <v>17</v>
      </c>
      <c r="B39" s="13">
        <f>D18*150.75</f>
        <v>1356.75</v>
      </c>
      <c r="C39" s="14">
        <f t="shared" si="0"/>
        <v>9.1197822141560803E-2</v>
      </c>
      <c r="D39" s="9">
        <f t="shared" si="1"/>
        <v>1.2857142857142858</v>
      </c>
    </row>
    <row r="40" spans="1:4" x14ac:dyDescent="0.3">
      <c r="A40" s="1">
        <v>18</v>
      </c>
      <c r="B40" s="13">
        <f>D19*150.75</f>
        <v>1206</v>
      </c>
      <c r="C40" s="14">
        <f t="shared" si="0"/>
        <v>8.1064730792498485E-2</v>
      </c>
      <c r="D40" s="9">
        <f t="shared" si="1"/>
        <v>1.1428571428571428</v>
      </c>
    </row>
    <row r="41" spans="1:4" ht="15" thickBot="1" x14ac:dyDescent="0.35">
      <c r="A41" s="4">
        <v>19</v>
      </c>
      <c r="B41" s="13">
        <f>D20*150.75</f>
        <v>1507.5</v>
      </c>
      <c r="C41" s="15">
        <f t="shared" si="0"/>
        <v>0.10133091349062311</v>
      </c>
      <c r="D41" s="10">
        <f t="shared" si="1"/>
        <v>1.25</v>
      </c>
    </row>
    <row r="42" spans="1:4" ht="15" thickTop="1" x14ac:dyDescent="0.3">
      <c r="B42" s="11" t="s">
        <v>25</v>
      </c>
      <c r="C42" s="11" t="s">
        <v>27</v>
      </c>
    </row>
    <row r="43" spans="1:4" ht="15" thickBot="1" x14ac:dyDescent="0.35">
      <c r="B43" s="12">
        <f>SUM(B23:B41)</f>
        <v>14877</v>
      </c>
      <c r="C43" s="16">
        <f>SUM(C23:C41)</f>
        <v>1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Feuil1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Alexo .</dc:creator>
  <cp:lastModifiedBy>Alexo .</cp:lastModifiedBy>
  <cp:lastPrinted>2024-02-07T20:37:47Z</cp:lastPrinted>
  <dcterms:created xsi:type="dcterms:W3CDTF">2024-01-02T20:51:26Z</dcterms:created>
  <dcterms:modified xsi:type="dcterms:W3CDTF">2024-03-04T18:37:13Z</dcterms:modified>
</cp:coreProperties>
</file>